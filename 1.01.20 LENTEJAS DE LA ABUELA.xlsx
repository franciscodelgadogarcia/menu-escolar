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TEJAS DE LA ABUELA" sheetId="1" r:id="rId4"/>
  </sheets>
  <definedNames>
    <definedName localSheetId="0" name="ref_Area">#REF!</definedName>
    <definedName name="ref_Area">#REF!</definedName>
  </definedNames>
  <calcPr/>
</workbook>
</file>

<file path=xl/sharedStrings.xml><?xml version="1.0" encoding="utf-8"?>
<sst xmlns="http://schemas.openxmlformats.org/spreadsheetml/2006/main" count="103" uniqueCount="80">
  <si>
    <t xml:space="preserve">      Ficha de datos de producto</t>
  </si>
  <si>
    <t>LENTEJAS DE LA ABUELA</t>
  </si>
  <si>
    <t>COMPOSICIÓN</t>
  </si>
  <si>
    <t>INFORMACIÓN SOBRE ALÉRGENOS (2)</t>
  </si>
  <si>
    <t>Productos y sus derivados</t>
  </si>
  <si>
    <t>Lentejas, cebolla, patata (METABISULFITO), chorizo (Carne de cerdo, sal, pimentón, dextrina, azúcar, ajo, aromas, especias, aroma de humo, antioxidante (E-301), conservadores (E-250, E-252), colorante (E-120) y tripa natural comestible de cerdo),   Aceite de oliva y sal.</t>
  </si>
  <si>
    <t>Alérgeno</t>
  </si>
  <si>
    <t xml:space="preserve">Sustancia </t>
  </si>
  <si>
    <t>SI</t>
  </si>
  <si>
    <t>NO</t>
  </si>
  <si>
    <t>1. Gluten</t>
  </si>
  <si>
    <t>X</t>
  </si>
  <si>
    <t>8. Frutos de cáscara</t>
  </si>
  <si>
    <t xml:space="preserve">2. Crustáceos </t>
  </si>
  <si>
    <t xml:space="preserve">9. Apio </t>
  </si>
  <si>
    <t xml:space="preserve">3. Huevos </t>
  </si>
  <si>
    <t>10. Mostaza</t>
  </si>
  <si>
    <t xml:space="preserve">4. Pescado </t>
  </si>
  <si>
    <t xml:space="preserve">11. Sésamo </t>
  </si>
  <si>
    <t xml:space="preserve">5. Cacahuetes </t>
  </si>
  <si>
    <t>12. Sulfuroso (*)</t>
  </si>
  <si>
    <t xml:space="preserve">6. Soja </t>
  </si>
  <si>
    <t>13. Altramuces</t>
  </si>
  <si>
    <t xml:space="preserve">7. Leche </t>
  </si>
  <si>
    <t xml:space="preserve">14. Moluscos </t>
  </si>
  <si>
    <t>15. Legumbres</t>
  </si>
  <si>
    <t>16.Cerdo</t>
  </si>
  <si>
    <t xml:space="preserve">17. Guisantes </t>
  </si>
  <si>
    <t>18. Otros___________</t>
  </si>
  <si>
    <t>(*)Concentración &gt; de 10 mg/kg o 10 mg/litro  como SO2.</t>
  </si>
  <si>
    <t>PROCESO DE ELABORACIÓN</t>
  </si>
  <si>
    <t xml:space="preserve"> CARACTERISTICAS MICROBIOLOGICAS (1)</t>
  </si>
  <si>
    <t>En una olla, se pone a sofreír la cebolla, cuando se dore la cebolla, añadimos el resto de los ingredientes y añadimos agua y sal y lo ponemos a cocer hasta que queden 15 minutos para retirarlo y se añade el chorizo. Luego se retiran las legumbre y se sirven.</t>
  </si>
  <si>
    <t>Categoría de alimento</t>
  </si>
  <si>
    <t>Microorg.</t>
  </si>
  <si>
    <t xml:space="preserve">Plan de muestreo </t>
  </si>
  <si>
    <t xml:space="preserve">Límites </t>
  </si>
  <si>
    <t>n</t>
  </si>
  <si>
    <t>c</t>
  </si>
  <si>
    <t>m</t>
  </si>
  <si>
    <t>M</t>
  </si>
  <si>
    <t>Alimentos listos para el consumo que pueden favorecer el desarrollo de L. monocytogenes.</t>
  </si>
  <si>
    <t>Listeria 
Monocytogenes</t>
  </si>
  <si>
    <t>100 ufc/g (5)</t>
  </si>
  <si>
    <t>Ausencia en 25 g</t>
  </si>
  <si>
    <t xml:space="preserve"> ETIQUETADO</t>
  </si>
  <si>
    <r>
      <rPr>
        <rFont val="Calibri"/>
        <color theme="1"/>
        <sz val="8.0"/>
      </rPr>
      <t xml:space="preserve">Alimentos listos para el consumo que </t>
    </r>
    <r>
      <rPr>
        <rFont val="Calibri"/>
        <b/>
        <color rgb="FF000000"/>
        <sz val="8.0"/>
      </rPr>
      <t>no</t>
    </r>
    <r>
      <rPr>
        <rFont val="Calibri"/>
        <color rgb="FF000000"/>
        <sz val="8.0"/>
      </rPr>
      <t xml:space="preserve"> pueden favorecer eldesarrollo de L. m.</t>
    </r>
  </si>
  <si>
    <t>100 ufc/g</t>
  </si>
  <si>
    <t>Al ser un producto de consumo inmediato solo etiquetaremos los platos específicos de alérgicos e intolerantes.</t>
  </si>
  <si>
    <t xml:space="preserve">Frutas y hortalizas troceadas </t>
  </si>
  <si>
    <t>E. coli</t>
  </si>
  <si>
    <t>1.000 ufc/g</t>
  </si>
  <si>
    <t xml:space="preserve"> CONSERVACION Y DISTRIBUCION</t>
  </si>
  <si>
    <t>INFORMACIÓN NUTRICIONAL (POR RACIÓN)</t>
  </si>
  <si>
    <r>
      <rPr>
        <rFont val="Calibri"/>
        <b/>
        <color theme="1"/>
        <sz val="8.0"/>
      </rPr>
      <t xml:space="preserve">Comida in situ: </t>
    </r>
    <r>
      <rPr>
        <rFont val="Calibri"/>
        <color theme="1"/>
        <sz val="8.0"/>
      </rPr>
      <t xml:space="preserve">       Se deberá  mantener el producto en  temperatura de más  65 ºC, en un recipiente tapado y etiquetado. Y consumir en un periodo máximo de 2 horas.
En frío mantener el producto a 8ºC si consumo en 24h
En un periodo mayor de 24h refrigerar a 4ºC hasta 48h máximo. </t>
    </r>
  </si>
  <si>
    <t>INGREDIENTES</t>
  </si>
  <si>
    <t>GRAMOS</t>
  </si>
  <si>
    <t>KCAL/GR</t>
  </si>
  <si>
    <t>PROT</t>
  </si>
  <si>
    <t>LIPIDOS</t>
  </si>
  <si>
    <t>HC</t>
  </si>
  <si>
    <t>FIBRA</t>
  </si>
  <si>
    <t>LENTEJAS</t>
  </si>
  <si>
    <t>PATATA</t>
  </si>
  <si>
    <t>CHORIZO</t>
  </si>
  <si>
    <t>CEBOLLA</t>
  </si>
  <si>
    <t xml:space="preserve"> FECHA DE CADUCIDAD</t>
  </si>
  <si>
    <t>AJO</t>
  </si>
  <si>
    <t>48 horas  en refrigeración desde  elaboración.</t>
  </si>
  <si>
    <t>ACEITE DE OLIVA</t>
  </si>
  <si>
    <t>DATOS LOGISTICOS</t>
  </si>
  <si>
    <t>SAL</t>
  </si>
  <si>
    <t xml:space="preserve">Reparto desde cocina central:     </t>
  </si>
  <si>
    <t>El lote se  controla mediante  un albarán  de entrega para el centro destino  en el que se  detalla la  fecha y  nombre del plato.</t>
  </si>
  <si>
    <t>AGUA</t>
  </si>
  <si>
    <t>SUMA</t>
  </si>
  <si>
    <t>Kcal Totales</t>
  </si>
  <si>
    <t>POR 100 G</t>
  </si>
  <si>
    <t>(1) Según REGLAMENTO (CE) no 2073/2005 DE LA COMISIÓN de 15 de noviembre de 2005 relativo a los criterios microbiológicos aplicables a los productos alimenticios.</t>
  </si>
  <si>
    <t>(2) a) Presencia de  ingredientes conforme al Real Decreto 1334/1999, de 31 de julio, por el que se aprueba la Norma general de etiquetado, presentación y publicidad de los productos alimenticios en su ANEXO V  redactado según  Real Decreto 1245/2008, de 18 de julio, por el que se modifica la norma general de etiquetado, presentación y publicidad de los productos alimenticios y Anexo II del  Reglamento (UE) nº 1169/2011 del Parlamento Europeo y del Consejo de 25 de octubre de 2011 sobre la información alimentaria facilitada al consumidor.
b) Otros productos a tener en cuenta por problemas de alergias, intolerancias y cuestiones religiosas, que no quedan reflejados en el Real Decreto anterior: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</si>
</sst>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sz val="9.0"/>
      <color theme="1"/>
      <name val="Calibri"/>
    </font>
    <font>
      <b/>
      <sz val="20.0"/>
      <color theme="0"/>
      <name val="Calibri"/>
    </font>
    <font/>
    <font>
      <sz val="9.0"/>
      <color rgb="FFE36C09"/>
      <name val="Calibri"/>
    </font>
    <font>
      <b/>
      <sz val="14.0"/>
      <color theme="1"/>
      <name val="Calibri"/>
    </font>
    <font>
      <b/>
      <sz val="10.0"/>
      <color theme="0"/>
      <name val="Calibri"/>
    </font>
    <font>
      <b/>
      <sz val="9.0"/>
      <color theme="1"/>
      <name val="Calibri"/>
    </font>
    <font>
      <b/>
      <sz val="9.0"/>
      <color theme="0"/>
      <name val="Calibri"/>
    </font>
    <font>
      <sz val="8.0"/>
      <color theme="1"/>
      <name val="Calibri"/>
    </font>
    <font>
      <sz val="10.0"/>
      <color theme="1"/>
      <name val="Calibri"/>
    </font>
    <font>
      <sz val="6.0"/>
      <color theme="1"/>
      <name val="Calibri"/>
    </font>
    <font>
      <sz val="10.0"/>
      <color rgb="FFDD0806"/>
      <name val="Calibri"/>
    </font>
    <font>
      <b/>
      <sz val="10.0"/>
      <color theme="1"/>
      <name val="Calibri"/>
    </font>
    <font>
      <i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2BD90"/>
        <bgColor rgb="FFA2BD90"/>
      </patternFill>
    </fill>
    <fill>
      <patternFill patternType="solid">
        <fgColor rgb="FFC0C0C0"/>
        <bgColor rgb="FFC0C0C0"/>
      </patternFill>
    </fill>
    <fill>
      <patternFill patternType="solid">
        <fgColor rgb="FFDAEEF3"/>
        <bgColor rgb="FFDAEEF3"/>
      </patternFill>
    </fill>
  </fills>
  <borders count="3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shrinkToFit="0" vertical="center" wrapText="0"/>
    </xf>
    <xf borderId="9" fillId="3" fontId="6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11" fillId="0" fontId="3" numFmtId="0" xfId="0" applyBorder="1" applyFont="1"/>
    <xf borderId="12" fillId="4" fontId="1" numFmtId="0" xfId="0" applyAlignment="1" applyBorder="1" applyFill="1" applyFont="1">
      <alignment shrinkToFit="0" vertical="center" wrapText="0"/>
    </xf>
    <xf borderId="13" fillId="0" fontId="7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12" fillId="4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top" wrapText="0"/>
    </xf>
    <xf borderId="16" fillId="0" fontId="1" numFmtId="0" xfId="0" applyAlignment="1" applyBorder="1" applyFont="1">
      <alignment horizontal="center" shrinkToFit="0" vertical="top" wrapText="1"/>
    </xf>
    <xf borderId="17" fillId="0" fontId="3" numFmtId="0" xfId="0" applyBorder="1" applyFont="1"/>
    <xf borderId="14" fillId="0" fontId="1" numFmtId="0" xfId="0" applyAlignment="1" applyBorder="1" applyFont="1">
      <alignment horizontal="center" shrinkToFit="0" vertical="top" wrapText="0"/>
    </xf>
    <xf borderId="15" fillId="0" fontId="3" numFmtId="0" xfId="0" applyBorder="1" applyFont="1"/>
    <xf borderId="18" fillId="0" fontId="3" numFmtId="0" xfId="0" applyBorder="1" applyFont="1"/>
    <xf borderId="19" fillId="5" fontId="1" numFmtId="0" xfId="0" applyAlignment="1" applyBorder="1" applyFill="1" applyFont="1">
      <alignment horizontal="center" shrinkToFit="0" vertical="top" wrapText="1"/>
    </xf>
    <xf borderId="18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left" shrinkToFit="0" vertical="bottom" wrapText="0"/>
    </xf>
    <xf borderId="21" fillId="0" fontId="3" numFmtId="0" xfId="0" applyBorder="1" applyFont="1"/>
    <xf borderId="22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shrinkToFit="0" vertical="center" wrapText="0"/>
    </xf>
    <xf borderId="21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center" readingOrder="1" shrinkToFit="0" vertical="bottom" wrapText="0"/>
    </xf>
    <xf borderId="19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shrinkToFit="0" vertical="bottom" wrapText="1"/>
    </xf>
    <xf borderId="16" fillId="4" fontId="1" numFmtId="0" xfId="0" applyAlignment="1" applyBorder="1" applyFont="1">
      <alignment horizontal="left" shrinkToFit="0" vertical="bottom" wrapText="0"/>
    </xf>
    <xf borderId="19" fillId="4" fontId="1" numFmtId="0" xfId="0" applyAlignment="1" applyBorder="1" applyFont="1">
      <alignment horizontal="center" shrinkToFit="0" vertical="bottom" wrapText="0"/>
    </xf>
    <xf borderId="19" fillId="4" fontId="1" numFmtId="0" xfId="0" applyAlignment="1" applyBorder="1" applyFont="1">
      <alignment horizontal="center" shrinkToFit="0" vertical="center" wrapText="0"/>
    </xf>
    <xf borderId="23" fillId="5" fontId="1" numFmtId="0" xfId="0" applyAlignment="1" applyBorder="1" applyFont="1">
      <alignment shrinkToFit="0" vertical="bottom" wrapText="0"/>
    </xf>
    <xf borderId="19" fillId="5" fontId="1" numFmtId="0" xfId="0" applyAlignment="1" applyBorder="1" applyFont="1">
      <alignment horizontal="center" shrinkToFit="0" vertical="bottom" wrapText="0"/>
    </xf>
    <xf borderId="16" fillId="5" fontId="1" numFmtId="0" xfId="0" applyAlignment="1" applyBorder="1" applyFont="1">
      <alignment horizontal="left" shrinkToFit="0" vertical="bottom" wrapText="0"/>
    </xf>
    <xf borderId="14" fillId="0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bottom" wrapText="1"/>
    </xf>
    <xf borderId="12" fillId="4" fontId="8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0" fillId="0" fontId="1" numFmtId="0" xfId="0" applyAlignment="1" applyFont="1">
      <alignment horizontal="left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9" fillId="5" fontId="7" numFmtId="0" xfId="0" applyAlignment="1" applyBorder="1" applyFont="1">
      <alignment horizontal="center" shrinkToFit="0" vertical="top" wrapText="1"/>
    </xf>
    <xf borderId="27" fillId="4" fontId="9" numFmtId="0" xfId="0" applyAlignment="1" applyBorder="1" applyFont="1">
      <alignment horizontal="left" shrinkToFit="0" vertical="center" wrapText="1"/>
    </xf>
    <xf borderId="27" fillId="4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16" fillId="4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left" shrinkToFit="0" vertical="bottom" wrapText="1"/>
    </xf>
    <xf borderId="29" fillId="3" fontId="6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0" fillId="0" fontId="9" numFmtId="0" xfId="0" applyAlignment="1" applyFont="1">
      <alignment horizontal="left" shrinkToFit="0" vertical="top" wrapText="1"/>
    </xf>
    <xf borderId="31" fillId="0" fontId="3" numFmtId="0" xfId="0" applyBorder="1" applyFont="1"/>
    <xf borderId="32" fillId="0" fontId="3" numFmtId="0" xfId="0" applyBorder="1" applyFont="1"/>
    <xf borderId="27" fillId="6" fontId="10" numFmtId="0" xfId="0" applyAlignment="1" applyBorder="1" applyFill="1" applyFont="1">
      <alignment horizontal="center" shrinkToFit="0" vertical="center" wrapText="1"/>
    </xf>
    <xf borderId="28" fillId="6" fontId="9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top" wrapText="1"/>
    </xf>
    <xf borderId="19" fillId="7" fontId="11" numFmtId="0" xfId="0" applyAlignment="1" applyBorder="1" applyFill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0"/>
    </xf>
    <xf borderId="19" fillId="0" fontId="12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16" fillId="0" fontId="12" numFmtId="0" xfId="0" applyAlignment="1" applyBorder="1" applyFont="1">
      <alignment horizontal="center" shrinkToFit="0" vertical="center" wrapText="1"/>
    </xf>
    <xf borderId="16" fillId="8" fontId="10" numFmtId="0" xfId="0" applyAlignment="1" applyBorder="1" applyFill="1" applyFont="1">
      <alignment horizontal="center" shrinkToFit="0" vertical="center" wrapText="1"/>
    </xf>
    <xf borderId="33" fillId="8" fontId="10" numFmtId="0" xfId="0" applyAlignment="1" applyBorder="1" applyFont="1">
      <alignment horizontal="center" shrinkToFit="0" vertical="center" wrapText="0"/>
    </xf>
    <xf borderId="19" fillId="8" fontId="10" numFmtId="0" xfId="0" applyAlignment="1" applyBorder="1" applyFont="1">
      <alignment horizontal="center" shrinkToFit="0" vertical="center" wrapText="1"/>
    </xf>
    <xf borderId="16" fillId="8" fontId="10" numFmtId="0" xfId="0" applyAlignment="1" applyBorder="1" applyFont="1">
      <alignment horizontal="center" shrinkToFit="0" vertical="top" wrapText="1"/>
    </xf>
    <xf borderId="33" fillId="8" fontId="13" numFmtId="0" xfId="0" applyAlignment="1" applyBorder="1" applyFont="1">
      <alignment shrinkToFit="0" vertical="center" wrapText="0"/>
    </xf>
    <xf borderId="19" fillId="8" fontId="13" numFmtId="0" xfId="0" applyAlignment="1" applyBorder="1" applyFont="1">
      <alignment horizontal="center" shrinkToFit="0" vertical="center" wrapText="1"/>
    </xf>
    <xf borderId="16" fillId="8" fontId="13" numFmtId="0" xfId="0" applyAlignment="1" applyBorder="1" applyFont="1">
      <alignment horizontal="center" shrinkToFit="0" vertical="center" wrapText="1"/>
    </xf>
    <xf borderId="19" fillId="8" fontId="13" numFmtId="164" xfId="0" applyAlignment="1" applyBorder="1" applyFont="1" applyNumberFormat="1">
      <alignment horizontal="center" shrinkToFit="0" vertical="center" wrapText="0"/>
    </xf>
    <xf borderId="13" fillId="0" fontId="9" numFmtId="0" xfId="0" applyAlignment="1" applyBorder="1" applyFont="1">
      <alignment horizontal="left" shrinkToFit="0" vertical="center" wrapText="1"/>
    </xf>
    <xf borderId="14" fillId="0" fontId="9" numFmtId="0" xfId="0" applyAlignment="1" applyBorder="1" applyFont="1">
      <alignment horizontal="left" shrinkToFit="0" vertical="bottom" wrapText="1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9525</xdr:rowOff>
    </xdr:from>
    <xdr:ext cx="885825" cy="828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.14"/>
    <col customWidth="1" min="3" max="3" width="18.71"/>
    <col customWidth="1" min="4" max="4" width="2.71"/>
    <col customWidth="1" min="5" max="5" width="13.43"/>
    <col customWidth="1" min="6" max="6" width="3.71"/>
    <col customWidth="1" min="7" max="7" width="5.0"/>
    <col customWidth="1" min="8" max="8" width="6.43"/>
    <col customWidth="1" min="9" max="9" width="5.43"/>
    <col customWidth="1" min="10" max="10" width="5.0"/>
    <col customWidth="1" min="11" max="11" width="5.14"/>
    <col customWidth="1" min="12" max="12" width="6.29"/>
    <col customWidth="1" min="13" max="15" width="10.71"/>
    <col customWidth="1" min="16" max="26" width="10.0"/>
  </cols>
  <sheetData>
    <row r="1" ht="12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5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9.25" customHeight="1">
      <c r="A7" s="11" t="s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2" t="s">
        <v>2</v>
      </c>
      <c r="B8" s="13"/>
      <c r="C8" s="14"/>
      <c r="D8" s="15"/>
      <c r="E8" s="12" t="s">
        <v>3</v>
      </c>
      <c r="F8" s="13"/>
      <c r="G8" s="13"/>
      <c r="H8" s="13"/>
      <c r="I8" s="13"/>
      <c r="J8" s="13"/>
      <c r="K8" s="13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6"/>
      <c r="B9" s="17"/>
      <c r="C9" s="17"/>
      <c r="D9" s="18"/>
      <c r="E9" s="16" t="s">
        <v>4</v>
      </c>
      <c r="F9" s="17"/>
      <c r="G9" s="17"/>
      <c r="H9" s="17"/>
      <c r="I9" s="17"/>
      <c r="J9" s="17"/>
      <c r="K9" s="17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9" t="s">
        <v>5</v>
      </c>
      <c r="B10" s="20"/>
      <c r="C10" s="20"/>
      <c r="D10" s="18"/>
      <c r="E10" s="21" t="s">
        <v>6</v>
      </c>
      <c r="F10" s="22" t="s">
        <v>7</v>
      </c>
      <c r="G10" s="23"/>
      <c r="H10" s="24" t="s">
        <v>6</v>
      </c>
      <c r="I10" s="20"/>
      <c r="J10" s="25"/>
      <c r="K10" s="22" t="s">
        <v>7</v>
      </c>
      <c r="L10" s="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D11" s="18"/>
      <c r="E11" s="26"/>
      <c r="F11" s="27" t="s">
        <v>8</v>
      </c>
      <c r="G11" s="27" t="s">
        <v>9</v>
      </c>
      <c r="H11" s="17"/>
      <c r="I11" s="17"/>
      <c r="J11" s="26"/>
      <c r="K11" s="27" t="s">
        <v>8</v>
      </c>
      <c r="L11" s="27" t="s">
        <v>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D12" s="18"/>
      <c r="E12" s="28" t="s">
        <v>10</v>
      </c>
      <c r="F12" s="29"/>
      <c r="G12" s="30" t="s">
        <v>11</v>
      </c>
      <c r="H12" s="31" t="s">
        <v>12</v>
      </c>
      <c r="I12" s="23"/>
      <c r="J12" s="32"/>
      <c r="K12" s="33"/>
      <c r="L12" s="34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D13" s="18"/>
      <c r="E13" s="35" t="s">
        <v>13</v>
      </c>
      <c r="F13" s="30"/>
      <c r="G13" s="30" t="s">
        <v>11</v>
      </c>
      <c r="H13" s="31" t="s">
        <v>14</v>
      </c>
      <c r="I13" s="23"/>
      <c r="J13" s="32"/>
      <c r="K13" s="36"/>
      <c r="L13" s="34" t="s">
        <v>11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D14" s="18"/>
      <c r="E14" s="35" t="s">
        <v>15</v>
      </c>
      <c r="F14" s="33"/>
      <c r="G14" s="30" t="s">
        <v>11</v>
      </c>
      <c r="H14" s="31" t="s">
        <v>16</v>
      </c>
      <c r="I14" s="23"/>
      <c r="J14" s="32"/>
      <c r="K14" s="37"/>
      <c r="L14" s="34" t="s">
        <v>11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D15" s="18"/>
      <c r="E15" s="35" t="s">
        <v>17</v>
      </c>
      <c r="F15" s="33"/>
      <c r="G15" s="30" t="s">
        <v>11</v>
      </c>
      <c r="H15" s="31" t="s">
        <v>18</v>
      </c>
      <c r="I15" s="23"/>
      <c r="J15" s="32"/>
      <c r="K15" s="37"/>
      <c r="L15" s="34" t="s">
        <v>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D16" s="18"/>
      <c r="E16" s="35" t="s">
        <v>19</v>
      </c>
      <c r="F16" s="33"/>
      <c r="G16" s="30" t="s">
        <v>11</v>
      </c>
      <c r="H16" s="31" t="s">
        <v>20</v>
      </c>
      <c r="I16" s="23"/>
      <c r="J16" s="32"/>
      <c r="K16" s="38" t="s">
        <v>11</v>
      </c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D17" s="18"/>
      <c r="E17" s="35" t="s">
        <v>21</v>
      </c>
      <c r="F17" s="33"/>
      <c r="G17" s="30" t="s">
        <v>11</v>
      </c>
      <c r="H17" s="31" t="s">
        <v>22</v>
      </c>
      <c r="I17" s="23"/>
      <c r="J17" s="32"/>
      <c r="K17" s="37"/>
      <c r="L17" s="34" t="s">
        <v>11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D18" s="18"/>
      <c r="E18" s="35" t="s">
        <v>23</v>
      </c>
      <c r="F18" s="33"/>
      <c r="G18" s="30" t="s">
        <v>11</v>
      </c>
      <c r="H18" s="39" t="s">
        <v>24</v>
      </c>
      <c r="I18" s="23"/>
      <c r="J18" s="32"/>
      <c r="K18" s="40"/>
      <c r="L18" s="41" t="s">
        <v>11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D19" s="18"/>
      <c r="E19" s="42" t="s">
        <v>25</v>
      </c>
      <c r="F19" s="43" t="s">
        <v>11</v>
      </c>
      <c r="G19" s="43"/>
      <c r="H19" s="44" t="s">
        <v>26</v>
      </c>
      <c r="I19" s="23"/>
      <c r="J19" s="32"/>
      <c r="K19" s="43" t="s">
        <v>11</v>
      </c>
      <c r="L19" s="4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D20" s="18"/>
      <c r="E20" s="42" t="s">
        <v>27</v>
      </c>
      <c r="F20" s="43"/>
      <c r="G20" s="43" t="s">
        <v>11</v>
      </c>
      <c r="H20" s="44" t="s">
        <v>28</v>
      </c>
      <c r="I20" s="23"/>
      <c r="J20" s="32"/>
      <c r="K20" s="43"/>
      <c r="L20" s="43" t="s">
        <v>11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D21" s="18"/>
      <c r="E21" s="45" t="s">
        <v>29</v>
      </c>
      <c r="F21" s="20"/>
      <c r="G21" s="20"/>
      <c r="H21" s="20"/>
      <c r="I21" s="20"/>
      <c r="J21" s="20"/>
      <c r="K21" s="20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D22" s="4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2" t="s">
        <v>30</v>
      </c>
      <c r="B23" s="13"/>
      <c r="C23" s="14"/>
      <c r="D23" s="47"/>
      <c r="E23" s="48" t="s">
        <v>31</v>
      </c>
      <c r="F23" s="49"/>
      <c r="G23" s="49"/>
      <c r="H23" s="49"/>
      <c r="I23" s="49"/>
      <c r="J23" s="49"/>
      <c r="K23" s="49"/>
      <c r="L23" s="5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51" t="s">
        <v>32</v>
      </c>
      <c r="D24" s="18"/>
      <c r="E24" s="52" t="s">
        <v>33</v>
      </c>
      <c r="F24" s="25"/>
      <c r="G24" s="52" t="s">
        <v>34</v>
      </c>
      <c r="H24" s="25"/>
      <c r="I24" s="53" t="s">
        <v>35</v>
      </c>
      <c r="J24" s="32"/>
      <c r="K24" s="53" t="s">
        <v>36</v>
      </c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D25" s="18"/>
      <c r="E25" s="54"/>
      <c r="F25" s="26"/>
      <c r="G25" s="54"/>
      <c r="H25" s="26"/>
      <c r="I25" s="55" t="s">
        <v>37</v>
      </c>
      <c r="J25" s="55" t="s">
        <v>38</v>
      </c>
      <c r="K25" s="55" t="s">
        <v>39</v>
      </c>
      <c r="L25" s="55" t="s">
        <v>40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D26" s="18"/>
      <c r="E26" s="56" t="s">
        <v>41</v>
      </c>
      <c r="F26" s="25"/>
      <c r="G26" s="57" t="s">
        <v>42</v>
      </c>
      <c r="H26" s="25"/>
      <c r="I26" s="58">
        <v>5.0</v>
      </c>
      <c r="J26" s="58">
        <v>0.0</v>
      </c>
      <c r="K26" s="59" t="s">
        <v>43</v>
      </c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D27" s="18"/>
      <c r="E27" s="54"/>
      <c r="F27" s="26"/>
      <c r="G27" s="54"/>
      <c r="H27" s="26"/>
      <c r="I27" s="58">
        <v>5.0</v>
      </c>
      <c r="J27" s="58">
        <v>0.0</v>
      </c>
      <c r="K27" s="59" t="s">
        <v>44</v>
      </c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2" t="s">
        <v>45</v>
      </c>
      <c r="B28" s="13"/>
      <c r="C28" s="14"/>
      <c r="D28" s="18"/>
      <c r="E28" s="56" t="s">
        <v>46</v>
      </c>
      <c r="F28" s="25"/>
      <c r="G28" s="57" t="s">
        <v>42</v>
      </c>
      <c r="H28" s="25"/>
      <c r="I28" s="60">
        <v>5.0</v>
      </c>
      <c r="J28" s="60">
        <v>0.0</v>
      </c>
      <c r="K28" s="61" t="s">
        <v>47</v>
      </c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2.25" customHeight="1">
      <c r="A29" s="51" t="s">
        <v>48</v>
      </c>
      <c r="D29" s="18"/>
      <c r="E29" s="54"/>
      <c r="F29" s="26"/>
      <c r="G29" s="54"/>
      <c r="H29" s="26"/>
      <c r="I29" s="62"/>
      <c r="J29" s="62"/>
      <c r="K29" s="54"/>
      <c r="L29" s="2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D30" s="18"/>
      <c r="E30" s="63" t="s">
        <v>49</v>
      </c>
      <c r="F30" s="32"/>
      <c r="G30" s="64" t="s">
        <v>50</v>
      </c>
      <c r="H30" s="32"/>
      <c r="I30" s="58">
        <v>5.0</v>
      </c>
      <c r="J30" s="58">
        <v>2.0</v>
      </c>
      <c r="K30" s="58" t="s">
        <v>47</v>
      </c>
      <c r="L30" s="58" t="s">
        <v>51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2" t="s">
        <v>52</v>
      </c>
      <c r="B31" s="13"/>
      <c r="C31" s="14"/>
      <c r="D31" s="65"/>
      <c r="E31" s="66" t="s">
        <v>53</v>
      </c>
      <c r="F31" s="20"/>
      <c r="G31" s="20"/>
      <c r="H31" s="20"/>
      <c r="I31" s="20"/>
      <c r="J31" s="20"/>
      <c r="K31" s="20"/>
      <c r="L31" s="6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68" t="s">
        <v>54</v>
      </c>
      <c r="D32" s="65"/>
      <c r="E32" s="69"/>
      <c r="F32" s="17"/>
      <c r="G32" s="17"/>
      <c r="H32" s="17"/>
      <c r="I32" s="17"/>
      <c r="J32" s="17"/>
      <c r="K32" s="17"/>
      <c r="L32" s="7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D33" s="65"/>
      <c r="E33" s="71" t="s">
        <v>55</v>
      </c>
      <c r="F33" s="20"/>
      <c r="G33" s="25"/>
      <c r="H33" s="72" t="s">
        <v>56</v>
      </c>
      <c r="I33" s="73" t="s">
        <v>57</v>
      </c>
      <c r="J33" s="23"/>
      <c r="K33" s="23"/>
      <c r="L33" s="32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D34" s="65"/>
      <c r="E34" s="54"/>
      <c r="F34" s="17"/>
      <c r="G34" s="26"/>
      <c r="H34" s="62"/>
      <c r="I34" s="74" t="s">
        <v>58</v>
      </c>
      <c r="J34" s="74" t="s">
        <v>59</v>
      </c>
      <c r="K34" s="74" t="s">
        <v>60</v>
      </c>
      <c r="L34" s="74" t="s">
        <v>61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D35" s="65"/>
      <c r="E35" s="75" t="s">
        <v>62</v>
      </c>
      <c r="F35" s="23"/>
      <c r="G35" s="32"/>
      <c r="H35" s="76">
        <v>60.0</v>
      </c>
      <c r="I35" s="77"/>
      <c r="J35" s="77"/>
      <c r="K35" s="77"/>
      <c r="L35" s="7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D36" s="18"/>
      <c r="E36" s="75" t="s">
        <v>63</v>
      </c>
      <c r="F36" s="23"/>
      <c r="G36" s="32"/>
      <c r="H36" s="76">
        <v>35.0</v>
      </c>
      <c r="I36" s="77"/>
      <c r="J36" s="77"/>
      <c r="K36" s="77"/>
      <c r="L36" s="7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D37" s="18"/>
      <c r="E37" s="75" t="s">
        <v>64</v>
      </c>
      <c r="F37" s="23"/>
      <c r="G37" s="32"/>
      <c r="H37" s="76">
        <v>12.0</v>
      </c>
      <c r="I37" s="77"/>
      <c r="J37" s="77"/>
      <c r="K37" s="77"/>
      <c r="L37" s="7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47"/>
      <c r="E38" s="75" t="s">
        <v>65</v>
      </c>
      <c r="F38" s="23"/>
      <c r="G38" s="32"/>
      <c r="H38" s="78">
        <v>10.0</v>
      </c>
      <c r="I38" s="77"/>
      <c r="J38" s="77"/>
      <c r="K38" s="77"/>
      <c r="L38" s="7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2" t="s">
        <v>66</v>
      </c>
      <c r="B39" s="13"/>
      <c r="C39" s="14"/>
      <c r="D39" s="79"/>
      <c r="E39" s="75" t="s">
        <v>67</v>
      </c>
      <c r="F39" s="23"/>
      <c r="G39" s="32"/>
      <c r="H39" s="76">
        <v>2.0</v>
      </c>
      <c r="I39" s="77"/>
      <c r="J39" s="77"/>
      <c r="K39" s="77"/>
      <c r="L39" s="7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51" t="s">
        <v>68</v>
      </c>
      <c r="D40" s="47"/>
      <c r="E40" s="75" t="s">
        <v>69</v>
      </c>
      <c r="F40" s="23"/>
      <c r="G40" s="32"/>
      <c r="H40" s="76">
        <v>2.0</v>
      </c>
      <c r="I40" s="77"/>
      <c r="J40" s="77"/>
      <c r="K40" s="77"/>
      <c r="L40" s="7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2" t="s">
        <v>70</v>
      </c>
      <c r="B41" s="13"/>
      <c r="C41" s="14"/>
      <c r="D41" s="79"/>
      <c r="E41" s="75" t="s">
        <v>71</v>
      </c>
      <c r="F41" s="23"/>
      <c r="G41" s="32"/>
      <c r="H41" s="76">
        <v>0.5</v>
      </c>
      <c r="I41" s="77"/>
      <c r="J41" s="77"/>
      <c r="K41" s="77"/>
      <c r="L41" s="7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80" t="s">
        <v>72</v>
      </c>
      <c r="B42" s="1"/>
      <c r="C42" s="1"/>
      <c r="D42" s="79"/>
      <c r="E42" s="81"/>
      <c r="F42" s="23"/>
      <c r="G42" s="32"/>
      <c r="H42" s="76"/>
      <c r="I42" s="77"/>
      <c r="J42" s="77"/>
      <c r="K42" s="77"/>
      <c r="L42" s="7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51" t="s">
        <v>73</v>
      </c>
      <c r="D43" s="18"/>
      <c r="E43" s="75" t="s">
        <v>74</v>
      </c>
      <c r="F43" s="23"/>
      <c r="G43" s="32"/>
      <c r="H43" s="76">
        <v>120.0</v>
      </c>
      <c r="I43" s="77"/>
      <c r="J43" s="77"/>
      <c r="K43" s="77"/>
      <c r="L43" s="7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D44" s="18"/>
      <c r="E44" s="82" t="s">
        <v>75</v>
      </c>
      <c r="F44" s="23"/>
      <c r="G44" s="32"/>
      <c r="H44" s="83">
        <f>SUM(H35:H43)</f>
        <v>241.5</v>
      </c>
      <c r="I44" s="84">
        <v>17.3</v>
      </c>
      <c r="J44" s="84">
        <v>6.6</v>
      </c>
      <c r="K44" s="84">
        <v>29.6</v>
      </c>
      <c r="L44" s="84">
        <v>11.0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D45" s="18"/>
      <c r="E45" s="85" t="s">
        <v>76</v>
      </c>
      <c r="F45" s="23"/>
      <c r="G45" s="32"/>
      <c r="H45" s="86">
        <f>SUM(I45:L45)</f>
        <v>269</v>
      </c>
      <c r="I45" s="87">
        <f>I44*4</f>
        <v>69.2</v>
      </c>
      <c r="J45" s="87">
        <f>J44*9</f>
        <v>59.4</v>
      </c>
      <c r="K45" s="87">
        <f>K44*4</f>
        <v>118.4</v>
      </c>
      <c r="L45" s="87">
        <f>L44*2</f>
        <v>22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D46" s="18"/>
      <c r="E46" s="88" t="s">
        <v>77</v>
      </c>
      <c r="F46" s="23"/>
      <c r="G46" s="32"/>
      <c r="H46" s="89">
        <f>H45*100/H44</f>
        <v>111.3871636</v>
      </c>
      <c r="I46" s="89">
        <f>I44*100/H44</f>
        <v>7.163561077</v>
      </c>
      <c r="J46" s="89">
        <f>J44*100/H44</f>
        <v>2.732919255</v>
      </c>
      <c r="K46" s="89">
        <f>K44*100/H44</f>
        <v>12.25672878</v>
      </c>
      <c r="L46" s="89">
        <f>L44*100/H44</f>
        <v>4.554865424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90" t="s">
        <v>78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83.25" customHeight="1">
      <c r="A48" s="91" t="s">
        <v>79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92"/>
      <c r="B51" s="1"/>
      <c r="C51" s="1"/>
      <c r="D51" s="1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92"/>
      <c r="B53" s="1"/>
      <c r="C53" s="1"/>
      <c r="D53" s="1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A9:C9"/>
    <mergeCell ref="E10:E11"/>
    <mergeCell ref="F10:G10"/>
    <mergeCell ref="H10:J11"/>
    <mergeCell ref="K10:L10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E30:F30"/>
    <mergeCell ref="E33:G34"/>
    <mergeCell ref="H33:H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1:L5"/>
    <mergeCell ref="A6:L6"/>
    <mergeCell ref="A7:L7"/>
    <mergeCell ref="A8:C8"/>
    <mergeCell ref="E8:L8"/>
    <mergeCell ref="E9:L9"/>
    <mergeCell ref="E21:L21"/>
    <mergeCell ref="K26:L26"/>
    <mergeCell ref="K27:L27"/>
    <mergeCell ref="E23:L23"/>
    <mergeCell ref="E24:F25"/>
    <mergeCell ref="G24:H25"/>
    <mergeCell ref="I24:J24"/>
    <mergeCell ref="K24:L24"/>
    <mergeCell ref="E26:F27"/>
    <mergeCell ref="G26:H27"/>
    <mergeCell ref="E28:F29"/>
    <mergeCell ref="G28:H29"/>
    <mergeCell ref="I28:I29"/>
    <mergeCell ref="J28:J29"/>
    <mergeCell ref="K28:L29"/>
    <mergeCell ref="G30:H30"/>
    <mergeCell ref="E31:L32"/>
    <mergeCell ref="I33:L33"/>
    <mergeCell ref="A39:C39"/>
    <mergeCell ref="A40:C40"/>
    <mergeCell ref="A41:C41"/>
    <mergeCell ref="A43:C46"/>
    <mergeCell ref="A10:C22"/>
    <mergeCell ref="A23:C23"/>
    <mergeCell ref="A24:C27"/>
    <mergeCell ref="A28:C28"/>
    <mergeCell ref="A29:C30"/>
    <mergeCell ref="A31:C31"/>
    <mergeCell ref="A32:C37"/>
    <mergeCell ref="E46:G46"/>
    <mergeCell ref="A47:L47"/>
    <mergeCell ref="A48:L48"/>
  </mergeCells>
  <printOptions/>
  <pageMargins bottom="0.75" footer="0.0" header="0.0" left="0.7" right="0.7" top="0.75"/>
  <pageSetup orientation="landscape"/>
  <drawing r:id="rId1"/>
</worksheet>
</file>